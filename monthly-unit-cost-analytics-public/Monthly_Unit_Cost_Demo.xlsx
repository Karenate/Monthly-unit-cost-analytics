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c24d5837c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Inputs" sheetId="1" r:id="R5abad80571f44b08"/>
    <x:sheet xmlns:r="http://schemas.openxmlformats.org/officeDocument/2006/relationships" name="Variance Analysis" sheetId="2" r:id="R2602e13c6a654183"/>
    <x:sheet xmlns:r="http://schemas.openxmlformats.org/officeDocument/2006/relationships" name="Analyst Review" sheetId="3" r:id="Rea263d774f56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"/>
    <x:numFmt numFmtId="201" formatCode="$#,##0.00;[Red]($#,##0.00)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1" fontId="0" fillId="0" borderId="0" xfId="0" applyNumberFormat="1" applyFont="1" applyFill="1" applyBorder="1"/>
    <x:xf numFmtId="201" fontId="2" fillId="3" borderId="0" xfId="0" applyNumberFormat="1" applyFont="1" applyFill="1" applyBorder="1"/>
    <x:xf numFmtId="201" fontId="0" fillId="0" borderId="1" xfId="0" applyNumberFormat="1" applyFont="1" applyFill="1" applyBorder="1"/>
    <x:xf numFmtId="201" fontId="2" fillId="3" borderId="1" xfId="0" applyNumberFormat="1" applyFont="1" applyFill="1" applyBorder="1"/>
    <x:xf numFmtId="202" fontId="0" fillId="0" borderId="0" xfId="0" applyNumberFormat="1" applyFont="1" applyFill="1" applyBorder="1"/>
    <x:xf numFmtId="202" fontId="2" fillId="3" borderId="0" xfId="0" applyNumberFormat="1" applyFont="1" applyFill="1" applyBorder="1"/>
    <x:xf numFmtId="202" fontId="0" fillId="0" borderId="1" xfId="0" applyNumberFormat="1" applyFont="1" applyFill="1" applyBorder="1"/>
    <x:xf numFmtId="202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b61bc5ce04cca" /><Relationship Type="http://schemas.openxmlformats.org/officeDocument/2006/relationships/theme" Target="/xl/theme/theme1.xml" Id="R72d62c3a99e849a0" /><Relationship Type="http://schemas.openxmlformats.org/officeDocument/2006/relationships/sharedStrings" Target="/xl/sharedStrings.xml" Id="Rcd8a43989dd34967" /><Relationship Type="http://schemas.openxmlformats.org/officeDocument/2006/relationships/worksheet" Target="/xl/worksheets/sheet1.xml" Id="R5abad80571f44b08" /><Relationship Type="http://schemas.openxmlformats.org/officeDocument/2006/relationships/worksheet" Target="/xl/worksheets/sheet2.xml" Id="R2602e13c6a654183" /><Relationship Type="http://schemas.openxmlformats.org/officeDocument/2006/relationships/worksheet" Target="/xl/worksheets/sheet3.xml" Id="Rea263d774f5640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Category</x:v>
      </x:c>
      <x:c r="B1" s="3" t="str">
        <x:v>Current Cost USD</x:v>
      </x:c>
      <x:c r="C1" s="3" t="str">
        <x:v>Prior Cost USD</x:v>
      </x:c>
      <x:c r="D1" s="3" t="str">
        <x:v>Budget Cost USD</x:v>
      </x:c>
      <x:c r="E1" s="3" t="str">
        <x:v>Current Volume</x:v>
      </x:c>
      <x:c r="F1" s="3" t="str">
        <x:v>Prior Volume</x:v>
      </x:c>
      <x:c r="G1" s="3" t="str">
        <x:v>Budget Volume</x:v>
      </x:c>
    </x:row>
    <x:row r="2">
      <x:c r="A2" t="str">
        <x:v>Direct Materials</x:v>
      </x:c>
      <x:c r="B2" s="6" t="n">
        <x:v>1260000</x:v>
      </x:c>
      <x:c r="C2" s="6" t="n">
        <x:v>1150000</x:v>
      </x:c>
      <x:c r="D2" s="6" t="n">
        <x:v>1200000</x:v>
      </x:c>
      <x:c r="E2" s="6" t="n">
        <x:v>10000</x:v>
      </x:c>
      <x:c r="F2" s="6" t="n">
        <x:v>9800</x:v>
      </x:c>
      <x:c r="G2" s="6" t="n">
        <x:v>10200</x:v>
      </x:c>
    </x:row>
    <x:row r="3">
      <x:c r="A3" t="str">
        <x:v>Variable Manufacturing</x:v>
      </x:c>
      <x:c r="B3" s="6" t="n">
        <x:v>360000</x:v>
      </x:c>
      <x:c r="C3" s="6" t="n">
        <x:v>345000</x:v>
      </x:c>
      <x:c r="D3" s="6" t="n">
        <x:v>350000</x:v>
      </x:c>
      <x:c r="E3" s="6" t="n">
        <x:v>10000</x:v>
      </x:c>
      <x:c r="F3" s="6" t="n">
        <x:v>9800</x:v>
      </x:c>
      <x:c r="G3" s="6" t="n">
        <x:v>10200</x:v>
      </x:c>
    </x:row>
    <x:row r="4">
      <x:c r="A4" t="str">
        <x:v>Fixed Manufacturing</x:v>
      </x:c>
      <x:c r="B4" s="6" t="n">
        <x:v>300000</x:v>
      </x:c>
      <x:c r="C4" s="6" t="n">
        <x:v>305000</x:v>
      </x:c>
      <x:c r="D4" s="6" t="n">
        <x:v>310000</x:v>
      </x:c>
      <x:c r="E4" s="6" t="n">
        <x:v>10000</x:v>
      </x:c>
      <x:c r="F4" s="6" t="n">
        <x:v>9800</x:v>
      </x:c>
      <x:c r="G4" s="6" t="n">
        <x:v>10200</x:v>
      </x:c>
    </x:row>
    <x:row r="5">
      <x:c r="A5" t="str">
        <x:v>By-product Credit</x:v>
      </x:c>
      <x:c r="B5" s="6" t="n">
        <x:v>-140000</x:v>
      </x:c>
      <x:c r="C5" s="6" t="n">
        <x:v>-125000</x:v>
      </x:c>
      <x:c r="D5" s="6" t="n">
        <x:v>-130000</x:v>
      </x:c>
      <x:c r="E5" s="6" t="n">
        <x:v>10000</x:v>
      </x:c>
      <x:c r="F5" s="6" t="n">
        <x:v>9800</x:v>
      </x:c>
      <x:c r="G5" s="6" t="n">
        <x:v>10200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82" hidden="0" customWidth="1"/>
  </x:cols>
  <x:sheetData>
    <x:row r="1" ht="30" customHeight="1">
      <x:c r="A1" s="3" t="str">
        <x:v>Category</x:v>
      </x:c>
      <x:c r="B1" s="3" t="str">
        <x:v>Current Unit Cost</x:v>
      </x:c>
      <x:c r="C1" s="3" t="str">
        <x:v>Prior Unit Cost</x:v>
      </x:c>
      <x:c r="D1" s="3" t="str">
        <x:v>Budget Unit Cost</x:v>
      </x:c>
      <x:c r="E1" s="3" t="str">
        <x:v>MoM Delta</x:v>
      </x:c>
      <x:c r="F1" s="3" t="str">
        <x:v>MoM %</x:v>
      </x:c>
      <x:c r="G1" s="3" t="str">
        <x:v>Budget Delta</x:v>
      </x:c>
      <x:c r="H1" s="3" t="str">
        <x:v>Budget %</x:v>
      </x:c>
      <x:c r="I1" s="3" t="str">
        <x:v>Direction</x:v>
      </x:c>
      <x:c r="J1" s="3" t="str">
        <x:v>Preliminary Narrative</x:v>
      </x:c>
    </x:row>
    <x:row r="2">
      <x:c r="A2" t="str">
        <x:f>'Synthetic Inputs'!A2</x:f>
        <x:v>Direct Materials</x:v>
      </x:c>
      <x:c r="B2" s="12" t="n">
        <x:f>IFERROR('Synthetic Inputs'!B2/'Synthetic Inputs'!E2,0)</x:f>
        <x:v>126</x:v>
      </x:c>
      <x:c r="C2" s="12" t="n">
        <x:f>IFERROR('Synthetic Inputs'!C2/'Synthetic Inputs'!F2,0)</x:f>
        <x:v>117.34693877551021</x:v>
      </x:c>
      <x:c r="D2" s="12" t="n">
        <x:f>IFERROR('Synthetic Inputs'!D2/'Synthetic Inputs'!G2,0)</x:f>
        <x:v>117.6470588235294</x:v>
      </x:c>
      <x:c r="E2" s="12" t="n">
        <x:f>B2-C2</x:f>
        <x:v>8.65306122448979</x:v>
      </x:c>
      <x:c r="F2" s="16" t="n">
        <x:f>IFERROR(E2/ABS(C2),0)</x:f>
        <x:v>0.07373913043478256</x:v>
      </x:c>
      <x:c r="G2" s="12" t="n">
        <x:f>B2-D2</x:f>
        <x:v>8.352941176470594</x:v>
      </x:c>
      <x:c r="H2" s="16" t="n">
        <x:f>IFERROR(G2/ABS(D2),0)</x:f>
        <x:v>0.07100000000000005</x:v>
      </x:c>
      <x:c r="I2" t="str">
        <x:f>IF(E2&gt;0,"Increase",IF(E2&lt;0,"Decrease","No change"))</x:f>
        <x:v>Increase</x:v>
      </x:c>
      <x:c r="J2" t="str">
        <x:f>A2&amp;" unit cost "&amp;LOWER(I2)&amp;"d by "&amp;TEXT(ABS(E2),"$0.00")&amp;" versus prior month; due to [analyst to investigate]."</x:f>
        <x:v>Direct Materials unit cost increased by $8.65 versus prior month; due to [analyst to investigate].</x:v>
      </x:c>
    </x:row>
    <x:row r="3">
      <x:c r="A3" t="str">
        <x:f>'Synthetic Inputs'!A3</x:f>
        <x:v>Variable Manufacturing</x:v>
      </x:c>
      <x:c r="B3" s="12" t="n">
        <x:f>IFERROR('Synthetic Inputs'!B3/'Synthetic Inputs'!E3,0)</x:f>
        <x:v>36</x:v>
      </x:c>
      <x:c r="C3" s="12" t="n">
        <x:f>IFERROR('Synthetic Inputs'!C3/'Synthetic Inputs'!F3,0)</x:f>
        <x:v>35.204081632653065</x:v>
      </x:c>
      <x:c r="D3" s="12" t="n">
        <x:f>IFERROR('Synthetic Inputs'!D3/'Synthetic Inputs'!G3,0)</x:f>
        <x:v>34.31372549019608</x:v>
      </x:c>
      <x:c r="E3" s="12" t="n">
        <x:f>B3-C3</x:f>
        <x:v>0.7959183673469354</x:v>
      </x:c>
      <x:c r="F3" s="16" t="n">
        <x:f>IFERROR(E3/ABS(C3),0)</x:f>
        <x:v>0.022608695652173817</x:v>
      </x:c>
      <x:c r="G3" s="12" t="n">
        <x:f>B3-D3</x:f>
        <x:v>1.6862745098039227</x:v>
      </x:c>
      <x:c r="H3" s="16" t="n">
        <x:f>IFERROR(G3/ABS(D3),0)</x:f>
        <x:v>0.049142857142857176</x:v>
      </x:c>
      <x:c r="I3" t="str">
        <x:f>IF(E3&gt;0,"Increase",IF(E3&lt;0,"Decrease","No change"))</x:f>
        <x:v>Increase</x:v>
      </x:c>
      <x:c r="J3" t="str">
        <x:f>A3&amp;" unit cost "&amp;LOWER(I3)&amp;"d by "&amp;TEXT(ABS(E3),"$0.00")&amp;" versus prior month; due to [analyst to investigate]."</x:f>
        <x:v>Variable Manufacturing unit cost increased by $0.80 versus prior month; due to [analyst to investigate].</x:v>
      </x:c>
    </x:row>
    <x:row r="4">
      <x:c r="A4" t="str">
        <x:f>'Synthetic Inputs'!A4</x:f>
        <x:v>Fixed Manufacturing</x:v>
      </x:c>
      <x:c r="B4" s="12" t="n">
        <x:f>IFERROR('Synthetic Inputs'!B4/'Synthetic Inputs'!E4,0)</x:f>
        <x:v>30</x:v>
      </x:c>
      <x:c r="C4" s="12" t="n">
        <x:f>IFERROR('Synthetic Inputs'!C4/'Synthetic Inputs'!F4,0)</x:f>
        <x:v>31.122448979591837</x:v>
      </x:c>
      <x:c r="D4" s="12" t="n">
        <x:f>IFERROR('Synthetic Inputs'!D4/'Synthetic Inputs'!G4,0)</x:f>
        <x:v>30.392156862745097</x:v>
      </x:c>
      <x:c r="E4" s="12" t="n">
        <x:f>B4-C4</x:f>
        <x:v>-1.1224489795918373</x:v>
      </x:c>
      <x:c r="F4" s="16" t="n">
        <x:f>IFERROR(E4/ABS(C4),0)</x:f>
        <x:v>-0.03606557377049182</x:v>
      </x:c>
      <x:c r="G4" s="12" t="n">
        <x:f>B4-D4</x:f>
        <x:v>-0.39215686274509665</x:v>
      </x:c>
      <x:c r="H4" s="16" t="n">
        <x:f>IFERROR(G4/ABS(D4),0)</x:f>
        <x:v>-0.012903225806451568</x:v>
      </x:c>
      <x:c r="I4" t="str">
        <x:f>IF(E4&gt;0,"Increase",IF(E4&lt;0,"Decrease","No change"))</x:f>
        <x:v>Decrease</x:v>
      </x:c>
      <x:c r="J4" t="str">
        <x:f>A4&amp;" unit cost "&amp;LOWER(I4)&amp;"d by "&amp;TEXT(ABS(E4),"$0.00")&amp;" versus prior month; due to [analyst to investigate]."</x:f>
        <x:v>Fixed Manufacturing unit cost decreased by $1.12 versus prior month; due to [analyst to investigate].</x:v>
      </x:c>
    </x:row>
    <x:row r="5">
      <x:c r="A5" t="str">
        <x:f>'Synthetic Inputs'!A5</x:f>
        <x:v>By-product Credit</x:v>
      </x:c>
      <x:c r="B5" s="12" t="n">
        <x:f>IFERROR('Synthetic Inputs'!B5/'Synthetic Inputs'!E5,0)</x:f>
        <x:v>-14</x:v>
      </x:c>
      <x:c r="C5" s="12" t="n">
        <x:f>IFERROR('Synthetic Inputs'!C5/'Synthetic Inputs'!F5,0)</x:f>
        <x:v>-12.755102040816327</x:v>
      </x:c>
      <x:c r="D5" s="12" t="n">
        <x:f>IFERROR('Synthetic Inputs'!D5/'Synthetic Inputs'!G5,0)</x:f>
        <x:v>-12.745098039215685</x:v>
      </x:c>
      <x:c r="E5" s="12" t="n">
        <x:f>B5-C5</x:f>
        <x:v>-1.2448979591836729</x:v>
      </x:c>
      <x:c r="F5" s="16" t="n">
        <x:f>IFERROR(E5/ABS(C5),0)</x:f>
        <x:v>-0.09759999999999995</x:v>
      </x:c>
      <x:c r="G5" s="12" t="n">
        <x:f>B5-D5</x:f>
        <x:v>-1.2549019607843146</x:v>
      </x:c>
      <x:c r="H5" s="16" t="n">
        <x:f>IFERROR(G5/ABS(D5),0)</x:f>
        <x:v>-0.09846153846153853</x:v>
      </x:c>
      <x:c r="I5" t="str">
        <x:f>IF(E5&gt;0,"Increase",IF(E5&lt;0,"Decrease","No change"))</x:f>
        <x:v>Decrease</x:v>
      </x:c>
      <x:c r="J5" t="str">
        <x:f>A5&amp;" unit cost "&amp;LOWER(I5)&amp;"d by "&amp;TEXT(ABS(E5),"$0.00")&amp;" versus prior month; due to [analyst to investigate]."</x:f>
        <x:v>By-product Credit unit cost decreased by $1.24 versus prior month; due to [analyst to investigate].</x:v>
      </x:c>
    </x:row>
    <x:row r="6">
      <x:c r="A6" s="9" t="str">
        <x:v>Net Unit Cost</x:v>
      </x:c>
      <x:c r="B6" s="13" t="n">
        <x:f>SUM(B2:B5)</x:f>
        <x:v>178</x:v>
      </x:c>
      <x:c r="C6" s="13" t="n">
        <x:f>SUM(C2:C5)</x:f>
        <x:v>170.9183673469388</x:v>
      </x:c>
      <x:c r="D6" s="13" t="n">
        <x:f>SUM(D2:D5)</x:f>
        <x:v>169.60784313725486</x:v>
      </x:c>
      <x:c r="E6" s="13" t="n">
        <x:f>SUM(E2:E5)</x:f>
        <x:v>7.081632653061215</x:v>
      </x:c>
      <x:c r="F6" s="17" t="n">
        <x:f>IFERROR(E6/ABS(C6),0)</x:f>
        <x:v>0.041432835820895464</x:v>
      </x:c>
      <x:c r="G6" s="13" t="n">
        <x:f>SUM(G2:G5)</x:f>
        <x:v>8.392156862745106</x:v>
      </x:c>
      <x:c r="H6" s="17" t="n">
        <x:f>IFERROR(G6/ABS(D6),0)</x:f>
        <x:v>0.049479768786127226</x:v>
      </x:c>
      <x:c r="I6" s="9" t="str">
        <x:f>IF(E6&gt;0,"Increase",IF(E6&lt;0,"Decrease","No change"))</x:f>
        <x:v>Increase</x:v>
      </x:c>
      <x:c r="J6" s="9" t="str">
        <x:f>"Net unit cost changed by "&amp;TEXT(ABS(E6),"$0.00")&amp;" versus prior month; due to [analyst to investigate]."</x:f>
        <x:v>Net unit cost changed by $7.08 versus prior month; due to [analyst to investigate].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19" hidden="0" customWidth="1"/>
  </x:cols>
  <x:sheetData>
    <x:row r="1">
      <x:c r="A1" s="3" t="str">
        <x:v>Category</x:v>
      </x:c>
      <x:c r="B1" s="3" t="str">
        <x:v>MoM Unit Delta</x:v>
      </x:c>
      <x:c r="C1" s="3" t="str">
        <x:v>vs Budget Unit Delta</x:v>
      </x:c>
      <x:c r="D1" s="3" t="str">
        <x:v>Root Cause (manual)</x:v>
      </x:c>
      <x:c r="E1" s="3" t="str">
        <x:v>Evidence / Reference (manual)</x:v>
      </x:c>
      <x:c r="F1" s="3" t="str">
        <x:v>Review Status</x:v>
      </x:c>
    </x:row>
    <x:row r="2">
      <x:c r="A2" t="str">
        <x:f>'Variance Analysis'!A2</x:f>
        <x:v>Direct Materials</x:v>
      </x:c>
      <x:c r="B2" s="12" t="n">
        <x:f>'Variance Analysis'!E2</x:f>
        <x:v>8.65306122448979</x:v>
      </x:c>
      <x:c r="C2" s="12" t="n">
        <x:f>'Variance Analysis'!G2</x:f>
        <x:v>8.352941176470594</x:v>
      </x:c>
      <x:c r="D2" s="20" t="str">
        <x:v>Due to [enter verified cause]</x:v>
      </x:c>
      <x:c r="E2" s="20" t="str">
        <x:v>[enter supporting evidence]</x:v>
      </x:c>
      <x:c r="F2" t="str">
        <x:v>Open</x:v>
      </x:c>
    </x:row>
    <x:row r="3">
      <x:c r="A3" t="str">
        <x:f>'Variance Analysis'!A3</x:f>
        <x:v>Variable Manufacturing</x:v>
      </x:c>
      <x:c r="B3" s="12" t="n">
        <x:f>'Variance Analysis'!E3</x:f>
        <x:v>0.7959183673469354</x:v>
      </x:c>
      <x:c r="C3" s="12" t="n">
        <x:f>'Variance Analysis'!G3</x:f>
        <x:v>1.6862745098039227</x:v>
      </x:c>
      <x:c r="D3" s="20" t="str">
        <x:v>Due to [enter verified cause]</x:v>
      </x:c>
      <x:c r="E3" s="20" t="str">
        <x:v>[enter supporting evidence]</x:v>
      </x:c>
      <x:c r="F3" t="str">
        <x:v>Open</x:v>
      </x:c>
    </x:row>
    <x:row r="4">
      <x:c r="A4" t="str">
        <x:f>'Variance Analysis'!A4</x:f>
        <x:v>Fixed Manufacturing</x:v>
      </x:c>
      <x:c r="B4" s="12" t="n">
        <x:f>'Variance Analysis'!E4</x:f>
        <x:v>-1.1224489795918373</x:v>
      </x:c>
      <x:c r="C4" s="12" t="n">
        <x:f>'Variance Analysis'!G4</x:f>
        <x:v>-0.39215686274509665</x:v>
      </x:c>
      <x:c r="D4" s="20" t="str">
        <x:v>Due to [enter verified cause]</x:v>
      </x:c>
      <x:c r="E4" s="20" t="str">
        <x:v>[enter supporting evidence]</x:v>
      </x:c>
      <x:c r="F4" t="str">
        <x:v>Open</x:v>
      </x:c>
    </x:row>
    <x:row r="5">
      <x:c r="A5" t="str">
        <x:f>'Variance Analysis'!A5</x:f>
        <x:v>By-product Credit</x:v>
      </x:c>
      <x:c r="B5" s="12" t="n">
        <x:f>'Variance Analysis'!E5</x:f>
        <x:v>-1.2448979591836729</x:v>
      </x:c>
      <x:c r="C5" s="12" t="n">
        <x:f>'Variance Analysis'!G5</x:f>
        <x:v>-1.2549019607843146</x:v>
      </x:c>
      <x:c r="D5" s="20" t="str">
        <x:v>Due to [enter verified cause]</x:v>
      </x:c>
      <x:c r="E5" s="20" t="str">
        <x:v>[enter supporting evidence]</x:v>
      </x:c>
      <x:c r="F5" t="str">
        <x:v>Open</x:v>
      </x:c>
    </x:row>
    <x:row r="6">
      <x:c r="A6" t="str">
        <x:f>'Variance Analysis'!A6</x:f>
        <x:v>Net Unit Cost</x:v>
      </x:c>
      <x:c r="B6" s="12" t="n">
        <x:f>'Variance Analysis'!E6</x:f>
        <x:v>7.081632653061215</x:v>
      </x:c>
      <x:c r="C6" s="12" t="n">
        <x:f>'Variance Analysis'!G6</x:f>
        <x:v>8.392156862745106</x:v>
      </x:c>
      <x:c r="D6" s="20" t="str">
        <x:v>Due to [enter verified cause]</x:v>
      </x:c>
      <x:c r="E6" s="20" t="str">
        <x:v>[enter supporting evidence]</x:v>
      </x:c>
      <x:c r="F6" t="str">
        <x:v>Open</x:v>
      </x:c>
    </x:row>
  </x:sheetData>
  <x:pageMargins left="0.7" right="0.7" top="0.75" bottom="0.75" header="0.3" footer="0.3"/>
</x:worksheet>
</file>